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Factors" sheetId="2" state="visible" r:id="rId4"/>
    <sheet name="Dimensions Reference" sheetId="3" state="visible" r:id="rId5"/>
    <sheet name="Rates" sheetId="4" state="visible" r:id="rId6"/>
    <sheet name="BOQ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<sst xmlns="http://schemas.openxmlformats.org/spreadsheetml/2006/main" count="138" uniqueCount="111">
  <si>
    <t xml:space="preserve">Sample BOQ Pricing Workbook | نموذج جدول كميات وتسعير</t>
  </si>
  <si>
    <t xml:space="preserve">SAMPLE ONLY. Invented project, invented rates, invented drawing. Not market rates and not for tender use.</t>
  </si>
  <si>
    <t xml:space="preserve">المشروع (Project)</t>
  </si>
  <si>
    <t xml:space="preserve">Sample Office Fit-out (invented)</t>
  </si>
  <si>
    <t xml:space="preserve">سنة التسعير (Pricing year)</t>
  </si>
  <si>
    <t xml:space="preserve">المرجع المعياري (Benchmark)</t>
  </si>
  <si>
    <t xml:space="preserve">Rates: Estimate (invented for the sample). Factors: Benchmark, working ranges, midpoint used</t>
  </si>
  <si>
    <t xml:space="preserve">نوع العميل (Client type)</t>
  </si>
  <si>
    <t xml:space="preserve">Standard</t>
  </si>
  <si>
    <t xml:space="preserve">الموقع (Location)</t>
  </si>
  <si>
    <t xml:space="preserve">Riyadh</t>
  </si>
  <si>
    <t xml:space="preserve">نطاق العمل (Scope)</t>
  </si>
  <si>
    <t xml:space="preserve">Finishes, civil, joinery, waterproofing. MEP excluded.</t>
  </si>
  <si>
    <t xml:space="preserve">Legend</t>
  </si>
  <si>
    <t xml:space="preserve">Blue = input, edit these cells</t>
  </si>
  <si>
    <t xml:space="preserve">Black = formula, do not overwrite</t>
  </si>
  <si>
    <t xml:space="preserve">Green = link from another sheet</t>
  </si>
  <si>
    <t xml:space="preserve">How to use: choose Client type and Location in C8 and C9. Edit unit rates on Rates and dimensions on Dimensions Reference. Results flow to BOQ and Summary.</t>
  </si>
  <si>
    <t xml:space="preserve">Factors | المعاملات</t>
  </si>
  <si>
    <t xml:space="preserve">نوع العميل</t>
  </si>
  <si>
    <t xml:space="preserve">غير مباشرة %</t>
  </si>
  <si>
    <t xml:space="preserve">طوارئ %</t>
  </si>
  <si>
    <t xml:space="preserve">ربح %</t>
  </si>
  <si>
    <t xml:space="preserve">Note</t>
  </si>
  <si>
    <t xml:space="preserve">Indirect 13-17, profit 8-12: midpoint</t>
  </si>
  <si>
    <t xml:space="preserve">Royal Commission</t>
  </si>
  <si>
    <t xml:space="preserve">Indirect 15-18, profit 5-8: midpoint</t>
  </si>
  <si>
    <t xml:space="preserve">Aramco-HCIS</t>
  </si>
  <si>
    <t xml:space="preserve">Indirect 17-22, profit 12-18: midpoint</t>
  </si>
  <si>
    <t xml:space="preserve">الموقع</t>
  </si>
  <si>
    <t xml:space="preserve">نقل %</t>
  </si>
  <si>
    <t xml:space="preserve">Estimate: no uplift assumed</t>
  </si>
  <si>
    <t xml:space="preserve">Madinah</t>
  </si>
  <si>
    <t xml:space="preserve">Benchmark: default working factor</t>
  </si>
  <si>
    <t xml:space="preserve">Jazan</t>
  </si>
  <si>
    <t xml:space="preserve">Remote</t>
  </si>
  <si>
    <t xml:space="preserve">Selected for this estimate</t>
  </si>
  <si>
    <t xml:space="preserve">Indirect %</t>
  </si>
  <si>
    <t xml:space="preserve">Contingency %</t>
  </si>
  <si>
    <t xml:space="preserve">Profit %</t>
  </si>
  <si>
    <t xml:space="preserve">Transport %</t>
  </si>
  <si>
    <t xml:space="preserve">VAT %</t>
  </si>
  <si>
    <t xml:space="preserve">ZATCA standard rate</t>
  </si>
  <si>
    <t xml:space="preserve">Dimensions Reference | مرجع الأبعاد</t>
  </si>
  <si>
    <t xml:space="preserve">Invented drawing numbers for the sample. In a real project every row cites the actual drawing number and page.</t>
  </si>
  <si>
    <t xml:space="preserve">#</t>
  </si>
  <si>
    <t xml:space="preserve">البند</t>
  </si>
  <si>
    <t xml:space="preserve">الطول م</t>
  </si>
  <si>
    <t xml:space="preserve">العرض م</t>
  </si>
  <si>
    <t xml:space="preserve">الارتفاع/السمك م</t>
  </si>
  <si>
    <t xml:space="preserve">العدد</t>
  </si>
  <si>
    <t xml:space="preserve">الكمية</t>
  </si>
  <si>
    <t xml:space="preserve">الوحدة</t>
  </si>
  <si>
    <t xml:space="preserve">رقم اللوحة</t>
  </si>
  <si>
    <t xml:space="preserve">الصفحة</t>
  </si>
  <si>
    <t xml:space="preserve">أرضيات المساحة الرئيسية</t>
  </si>
  <si>
    <t xml:space="preserve">m2</t>
  </si>
  <si>
    <t xml:space="preserve">SAMPLE-A-101</t>
  </si>
  <si>
    <t xml:space="preserve">دهان الجدران (المحيط × الارتفاع بعد خصم الفتحات)</t>
  </si>
  <si>
    <t xml:space="preserve">سقف جبسي معلق</t>
  </si>
  <si>
    <t xml:space="preserve">عزل مائي أرضيات دورات المياه (غرفتان)</t>
  </si>
  <si>
    <t xml:space="preserve">SAMPLE-A-102</t>
  </si>
  <si>
    <t xml:space="preserve">أبواب داخلية</t>
  </si>
  <si>
    <t xml:space="preserve">nr</t>
  </si>
  <si>
    <t xml:space="preserve">SAMPLE-A-103</t>
  </si>
  <si>
    <t xml:space="preserve">خرسانة عادية للنظافة تحت الأرضيات</t>
  </si>
  <si>
    <t xml:space="preserve">m3</t>
  </si>
  <si>
    <t xml:space="preserve">SAMPLE-S-001</t>
  </si>
  <si>
    <t xml:space="preserve">Item 2 deducts 4 door openings of 2.1 m × 1.0 m (door size is a sample input in the formula; edit on a real project).</t>
  </si>
  <si>
    <t xml:space="preserve">Rates | الأسعار (SAR per unit)</t>
  </si>
  <si>
    <t xml:space="preserve">Sample rates, Estimate. Invented for the demonstration, not market rates.</t>
  </si>
  <si>
    <t xml:space="preserve">مواد</t>
  </si>
  <si>
    <t xml:space="preserve">عمالة</t>
  </si>
  <si>
    <t xml:space="preserve">معدات</t>
  </si>
  <si>
    <t xml:space="preserve">بلاط بورسلين للأرضيات</t>
  </si>
  <si>
    <t xml:space="preserve">دهان أكريليك داخلي</t>
  </si>
  <si>
    <t xml:space="preserve">عزل مائي أسمنتي بوليمري</t>
  </si>
  <si>
    <t xml:space="preserve">باب خشبي داخلي</t>
  </si>
  <si>
    <t xml:space="preserve">خرسانة عادية للنظافة</t>
  </si>
  <si>
    <t xml:space="preserve">BOQ | جدول الكميات</t>
  </si>
  <si>
    <t xml:space="preserve">Sample project, invented. Quantities link to Dimensions Reference; rates link to Rates.</t>
  </si>
  <si>
    <t xml:space="preserve">وصف البند</t>
  </si>
  <si>
    <t xml:space="preserve">المرجع المعياري</t>
  </si>
  <si>
    <t xml:space="preserve">سعر الوحدة</t>
  </si>
  <si>
    <t xml:space="preserve">التكلفة المباشرة</t>
  </si>
  <si>
    <t xml:space="preserve">بلاط بورسلين للأرضيات 60×60 سم مقاس منتظم، تركيب بمونة لاصقة أسمنتية محسّنة مع فواصل منتظمة وتعبئتها بحشوة أسمنتية. اختبار الاستلام: فحص التسطيح بمسطرة 2 م، وفحص التجويف بالطرق.</t>
  </si>
  <si>
    <t xml:space="preserve">EN 14411 / ISO 13006 · EN 12004</t>
  </si>
  <si>
    <t xml:space="preserve">دهان جدران داخلية بطلاء أكريليك مائي، طبقة أساس وطبقتا تشطيب بالرول على سطح معجّن ومصنفر. اختبار الاستلام: فحص الالتصاق بالشريط وقياس سمك الطبقة الجافة.</t>
  </si>
  <si>
    <t xml:space="preserve">ASTM D3359</t>
  </si>
  <si>
    <t xml:space="preserve">سقف جبسي معلق من ألواح جبس سمك 12.5 مم على هيكل معدني مجلفن، تثبيت بمسامير ذاتية الحفر مع معالجة الفواصل. اختبار الاستلام: فحص الاستواء ومحاذاة الفواصل.</t>
  </si>
  <si>
    <t xml:space="preserve">ASTM C1396 · ASTM C645</t>
  </si>
  <si>
    <t xml:space="preserve">عزل مائي لأرضيات دورات المياه بغشاء أسمنتي بوليمري مرن على طبقتين، مع رفعه على الجدران حسب المخطط. اختبار الاستلام: اختبار غمر بالماء لمدة 48 ساعة دون تسرب.</t>
  </si>
  <si>
    <t xml:space="preserve">EN 14891</t>
  </si>
  <si>
    <t xml:space="preserve">باب داخلي خشبي بكامل الحلق والكلون والإكسسوارات، تركيب وضبط. اختبار الاستلام: فحص الأبعاد والاستقامة وسلاسة التشغيل.</t>
  </si>
  <si>
    <t xml:space="preserve">Door schedule SAMPLE-A-103</t>
  </si>
  <si>
    <t xml:space="preserve">خرسانة عادية للنظافة تحت الأرضيات، صب ودمك وتسوية. اختبار الاستلام: مكعبات خرسانة فحص الضغط.</t>
  </si>
  <si>
    <t xml:space="preserve">BS EN 206</t>
  </si>
  <si>
    <t xml:space="preserve">الإجمالي (Direct cost total)</t>
  </si>
  <si>
    <t xml:space="preserve">Summary | الملخص</t>
  </si>
  <si>
    <t xml:space="preserve">%</t>
  </si>
  <si>
    <t xml:space="preserve">SAR</t>
  </si>
  <si>
    <t xml:space="preserve">التكلفة المباشرة (M + L + E)</t>
  </si>
  <si>
    <t xml:space="preserve">نقل</t>
  </si>
  <si>
    <t xml:space="preserve">الأساس بعد النقل</t>
  </si>
  <si>
    <t xml:space="preserve">تكاليف غير مباشرة</t>
  </si>
  <si>
    <t xml:space="preserve">طوارئ</t>
  </si>
  <si>
    <t xml:space="preserve">التكلفة الإجمالية</t>
  </si>
  <si>
    <t xml:space="preserve">الربح</t>
  </si>
  <si>
    <t xml:space="preserve">سعر البيع قبل الضريبة</t>
  </si>
  <si>
    <t xml:space="preserve">ضريبة القيمة المضافة</t>
  </si>
  <si>
    <t xml:space="preserve">الإجمالي شامل الضريبة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</si>
</sst>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%"/>
    <numFmt numFmtId="167" formatCode="#,##0.00;\(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C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2A47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2A4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60"/>
  </cols>
  <sheetData>
    <row r="2" customFormat="false" ht="17.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5" t="n">
        <v>2026</v>
      </c>
    </row>
    <row r="7" customFormat="false" ht="23.85" hidden="false" customHeight="false" outlineLevel="0" collapsed="false">
      <c r="B7" s="3" t="s">
        <v>5</v>
      </c>
      <c r="C7" s="4" t="s">
        <v>6</v>
      </c>
    </row>
    <row r="8" customFormat="false" ht="15" hidden="false" customHeight="false" outlineLevel="0" collapsed="false">
      <c r="B8" s="3" t="s">
        <v>7</v>
      </c>
      <c r="C8" s="4" t="s">
        <v>8</v>
      </c>
    </row>
    <row r="9" customFormat="false" ht="15" hidden="false" customHeight="false" outlineLevel="0" collapsed="false">
      <c r="B9" s="3" t="s">
        <v>9</v>
      </c>
      <c r="C9" s="4" t="s">
        <v>10</v>
      </c>
    </row>
    <row r="10" customFormat="false" ht="15" hidden="false" customHeight="false" outlineLevel="0" collapsed="false">
      <c r="B10" s="3" t="s">
        <v>11</v>
      </c>
      <c r="C10" s="4" t="s">
        <v>12</v>
      </c>
    </row>
    <row r="13" customFormat="false" ht="15" hidden="false" customHeight="false" outlineLevel="0" collapsed="false">
      <c r="B13" s="6" t="s">
        <v>13</v>
      </c>
    </row>
    <row r="14" customFormat="false" ht="15" hidden="false" customHeight="false" outlineLevel="0" collapsed="false">
      <c r="B14" s="7" t="s">
        <v>14</v>
      </c>
    </row>
    <row r="15" customFormat="false" ht="15" hidden="false" customHeight="false" outlineLevel="0" collapsed="false">
      <c r="B15" s="8" t="s">
        <v>15</v>
      </c>
    </row>
    <row r="16" customFormat="false" ht="15" hidden="false" customHeight="false" outlineLevel="0" collapsed="false">
      <c r="B16" s="9" t="s">
        <v>16</v>
      </c>
    </row>
    <row r="18" customFormat="false" ht="15" hidden="false" customHeight="true" outlineLevel="0" collapsed="false">
      <c r="B18" s="10" t="s">
        <v>17</v>
      </c>
      <c r="C18" s="10"/>
      <c r="D18" s="10"/>
    </row>
    <row r="19" customFormat="false" ht="15" hidden="false" customHeight="false" outlineLevel="0" collapsed="false">
      <c r="B19" s="10"/>
      <c r="C19" s="10"/>
      <c r="D19" s="10"/>
    </row>
  </sheetData>
  <mergeCells count="1">
    <mergeCell ref="B18:D19"/>
  </mergeCells>
  <dataValidations count="2">
    <dataValidation allowBlank="false" errorStyle="stop" operator="between" showDropDown="false" showErrorMessage="false" showInputMessage="false" sqref="C8" type="list">
      <formula1>"Standard,Royal Commission,Aramco-HCIS"</formula1>
      <formula2>0</formula2>
    </dataValidation>
    <dataValidation allowBlank="false" errorStyle="stop" operator="between" showDropDown="false" showErrorMessage="false" showInputMessage="false" sqref="C9" type="list">
      <formula1>"Riyadh,Madinah,Jazan,Remote"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6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11" t="s">
        <v>18</v>
      </c>
    </row>
    <row r="3" customFormat="false" ht="15" hidden="false" customHeight="false" outlineLevel="0" collapsed="false">
      <c r="A3" s="12" t="s">
        <v>19</v>
      </c>
      <c r="B3" s="12" t="s">
        <v>20</v>
      </c>
      <c r="C3" s="12" t="s">
        <v>21</v>
      </c>
      <c r="D3" s="12" t="s">
        <v>22</v>
      </c>
      <c r="E3" s="12" t="s">
        <v>23</v>
      </c>
    </row>
    <row r="4" customFormat="false" ht="15" hidden="false" customHeight="false" outlineLevel="0" collapsed="false">
      <c r="A4" s="8" t="s">
        <v>8</v>
      </c>
      <c r="B4" s="13" t="n">
        <v>0.15</v>
      </c>
      <c r="C4" s="13" t="n">
        <v>0.12</v>
      </c>
      <c r="D4" s="13" t="n">
        <v>0.1</v>
      </c>
      <c r="E4" s="8" t="s">
        <v>24</v>
      </c>
    </row>
    <row r="5" customFormat="false" ht="15" hidden="false" customHeight="false" outlineLevel="0" collapsed="false">
      <c r="A5" s="8" t="s">
        <v>25</v>
      </c>
      <c r="B5" s="13" t="n">
        <v>0.165</v>
      </c>
      <c r="C5" s="13" t="n">
        <v>0.15</v>
      </c>
      <c r="D5" s="13" t="n">
        <v>0.065</v>
      </c>
      <c r="E5" s="8" t="s">
        <v>26</v>
      </c>
    </row>
    <row r="6" customFormat="false" ht="15" hidden="false" customHeight="false" outlineLevel="0" collapsed="false">
      <c r="A6" s="8" t="s">
        <v>27</v>
      </c>
      <c r="B6" s="13" t="n">
        <v>0.195</v>
      </c>
      <c r="C6" s="13" t="n">
        <v>0.18</v>
      </c>
      <c r="D6" s="13" t="n">
        <v>0.15</v>
      </c>
      <c r="E6" s="8" t="s">
        <v>28</v>
      </c>
    </row>
    <row r="9" customFormat="false" ht="15" hidden="false" customHeight="false" outlineLevel="0" collapsed="false">
      <c r="A9" s="12" t="s">
        <v>29</v>
      </c>
      <c r="B9" s="12" t="s">
        <v>30</v>
      </c>
      <c r="C9" s="12"/>
      <c r="D9" s="12"/>
      <c r="E9" s="12" t="s">
        <v>23</v>
      </c>
    </row>
    <row r="10" customFormat="false" ht="15" hidden="false" customHeight="false" outlineLevel="0" collapsed="false">
      <c r="A10" s="8" t="s">
        <v>10</v>
      </c>
      <c r="B10" s="13" t="n">
        <v>0</v>
      </c>
      <c r="E10" s="8" t="s">
        <v>31</v>
      </c>
    </row>
    <row r="11" customFormat="false" ht="15" hidden="false" customHeight="false" outlineLevel="0" collapsed="false">
      <c r="A11" s="8" t="s">
        <v>32</v>
      </c>
      <c r="B11" s="13" t="n">
        <v>0.07</v>
      </c>
      <c r="E11" s="8" t="s">
        <v>33</v>
      </c>
    </row>
    <row r="12" customFormat="false" ht="15" hidden="false" customHeight="false" outlineLevel="0" collapsed="false">
      <c r="A12" s="8" t="s">
        <v>34</v>
      </c>
      <c r="B12" s="13" t="n">
        <v>0.09</v>
      </c>
      <c r="E12" s="8" t="s">
        <v>33</v>
      </c>
    </row>
    <row r="13" customFormat="false" ht="15" hidden="false" customHeight="false" outlineLevel="0" collapsed="false">
      <c r="A13" s="8" t="s">
        <v>35</v>
      </c>
      <c r="B13" s="13" t="n">
        <v>0.12</v>
      </c>
      <c r="E13" s="8" t="s">
        <v>33</v>
      </c>
    </row>
    <row r="16" customFormat="false" ht="15" hidden="false" customHeight="false" outlineLevel="0" collapsed="false">
      <c r="A16" s="6" t="s">
        <v>36</v>
      </c>
    </row>
    <row r="17" customFormat="false" ht="15" hidden="false" customHeight="false" outlineLevel="0" collapsed="false">
      <c r="A17" s="8" t="s">
        <v>37</v>
      </c>
      <c r="B17" s="14" t="n">
        <f aca="false">INDEX($B$4:$B$6,MATCH(Cover!$C$8,$A$4:$A$6,0))</f>
        <v>0.15</v>
      </c>
    </row>
    <row r="18" customFormat="false" ht="15" hidden="false" customHeight="false" outlineLevel="0" collapsed="false">
      <c r="A18" s="8" t="s">
        <v>38</v>
      </c>
      <c r="B18" s="14" t="n">
        <f aca="false">INDEX($C$4:$C$6,MATCH(Cover!$C$8,$A$4:$A$6,0))</f>
        <v>0.12</v>
      </c>
    </row>
    <row r="19" customFormat="false" ht="15" hidden="false" customHeight="false" outlineLevel="0" collapsed="false">
      <c r="A19" s="8" t="s">
        <v>39</v>
      </c>
      <c r="B19" s="14" t="n">
        <f aca="false">INDEX($D$4:$D$6,MATCH(Cover!$C$8,$A$4:$A$6,0))</f>
        <v>0.1</v>
      </c>
    </row>
    <row r="20" customFormat="false" ht="15" hidden="false" customHeight="false" outlineLevel="0" collapsed="false">
      <c r="A20" s="8" t="s">
        <v>40</v>
      </c>
      <c r="B20" s="14" t="n">
        <f aca="false">INDEX($B$10:$B$13,MATCH(Cover!$C$9,$A$10:$A$13,0))</f>
        <v>0</v>
      </c>
    </row>
    <row r="21" customFormat="false" ht="15" hidden="false" customHeight="false" outlineLevel="0" collapsed="false">
      <c r="A21" s="8" t="s">
        <v>41</v>
      </c>
      <c r="B21" s="13" t="n">
        <v>0.15</v>
      </c>
      <c r="E21" s="8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5" min="3" style="0" width="11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8"/>
    <col collapsed="false" customWidth="true" hidden="false" outlineLevel="0" max="10" min="10" style="0" width="8"/>
  </cols>
  <sheetData>
    <row r="1" customFormat="false" ht="15" hidden="false" customHeight="false" outlineLevel="0" collapsed="false">
      <c r="A1" s="11" t="s">
        <v>43</v>
      </c>
    </row>
    <row r="2" customFormat="false" ht="15" hidden="false" customHeight="false" outlineLevel="0" collapsed="false">
      <c r="A2" s="15" t="s">
        <v>44</v>
      </c>
    </row>
    <row r="4" customFormat="false" ht="23.85" hidden="false" customHeight="false" outlineLevel="0" collapsed="false">
      <c r="A4" s="12" t="s">
        <v>45</v>
      </c>
      <c r="B4" s="12" t="s">
        <v>46</v>
      </c>
      <c r="C4" s="12" t="s">
        <v>47</v>
      </c>
      <c r="D4" s="12" t="s">
        <v>48</v>
      </c>
      <c r="E4" s="12" t="s">
        <v>49</v>
      </c>
      <c r="F4" s="12" t="s">
        <v>50</v>
      </c>
      <c r="G4" s="12" t="s">
        <v>51</v>
      </c>
      <c r="H4" s="12" t="s">
        <v>52</v>
      </c>
      <c r="I4" s="12" t="s">
        <v>53</v>
      </c>
      <c r="J4" s="12" t="s">
        <v>54</v>
      </c>
    </row>
    <row r="5" customFormat="false" ht="30" hidden="false" customHeight="true" outlineLevel="0" collapsed="false">
      <c r="A5" s="16" t="n">
        <v>1</v>
      </c>
      <c r="B5" s="17" t="s">
        <v>55</v>
      </c>
      <c r="C5" s="18" t="n">
        <v>12</v>
      </c>
      <c r="D5" s="18" t="n">
        <v>8</v>
      </c>
      <c r="E5" s="18"/>
      <c r="F5" s="18" t="n">
        <v>1</v>
      </c>
      <c r="G5" s="19" t="n">
        <f aca="false">C5*D5*F5</f>
        <v>96</v>
      </c>
      <c r="H5" s="16" t="s">
        <v>56</v>
      </c>
      <c r="I5" s="18" t="s">
        <v>57</v>
      </c>
      <c r="J5" s="18" t="n">
        <v>1</v>
      </c>
    </row>
    <row r="6" customFormat="false" ht="30" hidden="false" customHeight="true" outlineLevel="0" collapsed="false">
      <c r="A6" s="16" t="n">
        <v>2</v>
      </c>
      <c r="B6" s="17" t="s">
        <v>58</v>
      </c>
      <c r="C6" s="18"/>
      <c r="D6" s="18"/>
      <c r="E6" s="18" t="n">
        <v>3</v>
      </c>
      <c r="F6" s="18" t="n">
        <v>1</v>
      </c>
      <c r="G6" s="19" t="n">
        <f aca="false">2*(C5+D5)*E6*F6-F9*2.1*1</f>
        <v>111.6</v>
      </c>
      <c r="H6" s="16" t="s">
        <v>56</v>
      </c>
      <c r="I6" s="18" t="s">
        <v>57</v>
      </c>
      <c r="J6" s="18" t="n">
        <v>1</v>
      </c>
    </row>
    <row r="7" customFormat="false" ht="30" hidden="false" customHeight="true" outlineLevel="0" collapsed="false">
      <c r="A7" s="16" t="n">
        <v>3</v>
      </c>
      <c r="B7" s="17" t="s">
        <v>59</v>
      </c>
      <c r="C7" s="18" t="n">
        <v>12</v>
      </c>
      <c r="D7" s="18" t="n">
        <v>8</v>
      </c>
      <c r="E7" s="18"/>
      <c r="F7" s="18" t="n">
        <v>1</v>
      </c>
      <c r="G7" s="19" t="n">
        <f aca="false">C7*D7*F7</f>
        <v>96</v>
      </c>
      <c r="H7" s="16" t="s">
        <v>56</v>
      </c>
      <c r="I7" s="18" t="s">
        <v>57</v>
      </c>
      <c r="J7" s="18" t="n">
        <v>1</v>
      </c>
    </row>
    <row r="8" customFormat="false" ht="30" hidden="false" customHeight="true" outlineLevel="0" collapsed="false">
      <c r="A8" s="16" t="n">
        <v>4</v>
      </c>
      <c r="B8" s="17" t="s">
        <v>60</v>
      </c>
      <c r="C8" s="18" t="n">
        <v>3</v>
      </c>
      <c r="D8" s="18" t="n">
        <v>2.5</v>
      </c>
      <c r="E8" s="18"/>
      <c r="F8" s="18" t="n">
        <v>2</v>
      </c>
      <c r="G8" s="19" t="n">
        <f aca="false">C8*D8*F8</f>
        <v>15</v>
      </c>
      <c r="H8" s="16" t="s">
        <v>56</v>
      </c>
      <c r="I8" s="18" t="s">
        <v>61</v>
      </c>
      <c r="J8" s="18" t="n">
        <v>1</v>
      </c>
    </row>
    <row r="9" customFormat="false" ht="30" hidden="false" customHeight="true" outlineLevel="0" collapsed="false">
      <c r="A9" s="16" t="n">
        <v>5</v>
      </c>
      <c r="B9" s="17" t="s">
        <v>62</v>
      </c>
      <c r="C9" s="18"/>
      <c r="D9" s="18"/>
      <c r="E9" s="18"/>
      <c r="F9" s="18" t="n">
        <v>4</v>
      </c>
      <c r="G9" s="19" t="n">
        <f aca="false">F9</f>
        <v>4</v>
      </c>
      <c r="H9" s="16" t="s">
        <v>63</v>
      </c>
      <c r="I9" s="18" t="s">
        <v>64</v>
      </c>
      <c r="J9" s="18" t="n">
        <v>1</v>
      </c>
    </row>
    <row r="10" customFormat="false" ht="30" hidden="false" customHeight="true" outlineLevel="0" collapsed="false">
      <c r="A10" s="16" t="n">
        <v>6</v>
      </c>
      <c r="B10" s="17" t="s">
        <v>65</v>
      </c>
      <c r="C10" s="18" t="n">
        <v>12</v>
      </c>
      <c r="D10" s="18" t="n">
        <v>8</v>
      </c>
      <c r="E10" s="18" t="n">
        <v>0.1</v>
      </c>
      <c r="F10" s="18" t="n">
        <v>1</v>
      </c>
      <c r="G10" s="19" t="n">
        <f aca="false">C10*D10*E10*F10</f>
        <v>9.6</v>
      </c>
      <c r="H10" s="16" t="s">
        <v>66</v>
      </c>
      <c r="I10" s="18" t="s">
        <v>67</v>
      </c>
      <c r="J10" s="18" t="n">
        <v>1</v>
      </c>
    </row>
    <row r="12" customFormat="false" ht="15" hidden="false" customHeight="false" outlineLevel="0" collapsed="false">
      <c r="A12" s="8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6" min="4" style="0" width="14"/>
  </cols>
  <sheetData>
    <row r="1" customFormat="false" ht="15" hidden="false" customHeight="false" outlineLevel="0" collapsed="false">
      <c r="A1" s="11" t="s">
        <v>69</v>
      </c>
    </row>
    <row r="2" customFormat="false" ht="15" hidden="false" customHeight="false" outlineLevel="0" collapsed="false">
      <c r="A2" s="15" t="s">
        <v>70</v>
      </c>
    </row>
    <row r="4" customFormat="false" ht="15" hidden="false" customHeight="false" outlineLevel="0" collapsed="false">
      <c r="A4" s="12" t="s">
        <v>45</v>
      </c>
      <c r="B4" s="12" t="s">
        <v>46</v>
      </c>
      <c r="C4" s="12" t="s">
        <v>52</v>
      </c>
      <c r="D4" s="12" t="s">
        <v>71</v>
      </c>
      <c r="E4" s="12" t="s">
        <v>72</v>
      </c>
      <c r="F4" s="12" t="s">
        <v>73</v>
      </c>
    </row>
    <row r="5" customFormat="false" ht="15" hidden="false" customHeight="false" outlineLevel="0" collapsed="false">
      <c r="A5" s="16" t="n">
        <v>1</v>
      </c>
      <c r="B5" s="17" t="s">
        <v>74</v>
      </c>
      <c r="C5" s="16" t="s">
        <v>56</v>
      </c>
      <c r="D5" s="20" t="n">
        <v>55</v>
      </c>
      <c r="E5" s="20" t="n">
        <v>25</v>
      </c>
      <c r="F5" s="20" t="n">
        <v>3</v>
      </c>
    </row>
    <row r="6" customFormat="false" ht="15" hidden="false" customHeight="false" outlineLevel="0" collapsed="false">
      <c r="A6" s="16" t="n">
        <v>2</v>
      </c>
      <c r="B6" s="17" t="s">
        <v>75</v>
      </c>
      <c r="C6" s="16" t="s">
        <v>56</v>
      </c>
      <c r="D6" s="20" t="n">
        <v>8</v>
      </c>
      <c r="E6" s="20" t="n">
        <v>10</v>
      </c>
      <c r="F6" s="20" t="n">
        <v>1</v>
      </c>
    </row>
    <row r="7" customFormat="false" ht="15" hidden="false" customHeight="false" outlineLevel="0" collapsed="false">
      <c r="A7" s="16" t="n">
        <v>3</v>
      </c>
      <c r="B7" s="17" t="s">
        <v>59</v>
      </c>
      <c r="C7" s="16" t="s">
        <v>56</v>
      </c>
      <c r="D7" s="20" t="n">
        <v>38</v>
      </c>
      <c r="E7" s="20" t="n">
        <v>22</v>
      </c>
      <c r="F7" s="20" t="n">
        <v>3</v>
      </c>
    </row>
    <row r="8" customFormat="false" ht="15" hidden="false" customHeight="false" outlineLevel="0" collapsed="false">
      <c r="A8" s="16" t="n">
        <v>4</v>
      </c>
      <c r="B8" s="17" t="s">
        <v>76</v>
      </c>
      <c r="C8" s="16" t="s">
        <v>56</v>
      </c>
      <c r="D8" s="20" t="n">
        <v>30</v>
      </c>
      <c r="E8" s="20" t="n">
        <v>15</v>
      </c>
      <c r="F8" s="20" t="n">
        <v>2</v>
      </c>
    </row>
    <row r="9" customFormat="false" ht="15" hidden="false" customHeight="false" outlineLevel="0" collapsed="false">
      <c r="A9" s="16" t="n">
        <v>5</v>
      </c>
      <c r="B9" s="17" t="s">
        <v>77</v>
      </c>
      <c r="C9" s="16" t="s">
        <v>63</v>
      </c>
      <c r="D9" s="20" t="n">
        <v>650</v>
      </c>
      <c r="E9" s="20" t="n">
        <v>120</v>
      </c>
      <c r="F9" s="20" t="n">
        <v>10</v>
      </c>
    </row>
    <row r="10" customFormat="false" ht="15" hidden="false" customHeight="false" outlineLevel="0" collapsed="false">
      <c r="A10" s="16" t="n">
        <v>6</v>
      </c>
      <c r="B10" s="17" t="s">
        <v>78</v>
      </c>
      <c r="C10" s="16" t="s">
        <v>66</v>
      </c>
      <c r="D10" s="20" t="n">
        <v>270</v>
      </c>
      <c r="E10" s="20" t="n">
        <v>60</v>
      </c>
      <c r="F10" s="20" t="n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32"/>
    <col collapsed="false" customWidth="true" hidden="false" outlineLevel="0" max="4" min="4" style="0" width="8"/>
    <col collapsed="false" customWidth="true" hidden="false" outlineLevel="0" max="8" min="5" style="0" width="11"/>
    <col collapsed="false" customWidth="true" hidden="false" outlineLevel="0" max="9" min="9" style="0" width="13"/>
    <col collapsed="false" customWidth="true" hidden="false" outlineLevel="0" max="10" min="10" style="0" width="15"/>
  </cols>
  <sheetData>
    <row r="1" customFormat="false" ht="15" hidden="false" customHeight="false" outlineLevel="0" collapsed="false">
      <c r="A1" s="11" t="s">
        <v>79</v>
      </c>
    </row>
    <row r="2" customFormat="false" ht="15" hidden="false" customHeight="false" outlineLevel="0" collapsed="false">
      <c r="A2" s="15" t="s">
        <v>80</v>
      </c>
    </row>
    <row r="4" customFormat="false" ht="15" hidden="false" customHeight="false" outlineLevel="0" collapsed="false">
      <c r="A4" s="12" t="s">
        <v>45</v>
      </c>
      <c r="B4" s="12" t="s">
        <v>81</v>
      </c>
      <c r="C4" s="12" t="s">
        <v>82</v>
      </c>
      <c r="D4" s="12" t="s">
        <v>52</v>
      </c>
      <c r="E4" s="12" t="s">
        <v>51</v>
      </c>
      <c r="F4" s="12" t="s">
        <v>71</v>
      </c>
      <c r="G4" s="12" t="s">
        <v>72</v>
      </c>
      <c r="H4" s="12" t="s">
        <v>73</v>
      </c>
      <c r="I4" s="12" t="s">
        <v>83</v>
      </c>
      <c r="J4" s="12" t="s">
        <v>84</v>
      </c>
    </row>
    <row r="5" customFormat="false" ht="61.5" hidden="false" customHeight="true" outlineLevel="0" collapsed="false">
      <c r="A5" s="16" t="n">
        <v>1</v>
      </c>
      <c r="B5" s="17" t="s">
        <v>85</v>
      </c>
      <c r="C5" s="17" t="s">
        <v>86</v>
      </c>
      <c r="D5" s="21" t="str">
        <f aca="false">Rates!C5</f>
        <v>m2</v>
      </c>
      <c r="E5" s="22" t="n">
        <f aca="false">'Dimensions Reference'!G5</f>
        <v>96</v>
      </c>
      <c r="F5" s="22" t="n">
        <f aca="false">Rates!D5</f>
        <v>55</v>
      </c>
      <c r="G5" s="22" t="n">
        <f aca="false">Rates!E5</f>
        <v>25</v>
      </c>
      <c r="H5" s="22" t="n">
        <f aca="false">Rates!F5</f>
        <v>3</v>
      </c>
      <c r="I5" s="19" t="n">
        <f aca="false">F5+G5+H5</f>
        <v>83</v>
      </c>
      <c r="J5" s="19" t="n">
        <f aca="false">E5*I5</f>
        <v>7968</v>
      </c>
    </row>
    <row r="6" customFormat="false" ht="61.5" hidden="false" customHeight="true" outlineLevel="0" collapsed="false">
      <c r="A6" s="16" t="n">
        <v>2</v>
      </c>
      <c r="B6" s="17" t="s">
        <v>87</v>
      </c>
      <c r="C6" s="17" t="s">
        <v>88</v>
      </c>
      <c r="D6" s="21" t="str">
        <f aca="false">Rates!C6</f>
        <v>m2</v>
      </c>
      <c r="E6" s="22" t="n">
        <f aca="false">'Dimensions Reference'!G6</f>
        <v>111.6</v>
      </c>
      <c r="F6" s="22" t="n">
        <f aca="false">Rates!D6</f>
        <v>8</v>
      </c>
      <c r="G6" s="22" t="n">
        <f aca="false">Rates!E6</f>
        <v>10</v>
      </c>
      <c r="H6" s="22" t="n">
        <f aca="false">Rates!F6</f>
        <v>1</v>
      </c>
      <c r="I6" s="19" t="n">
        <f aca="false">F6+G6+H6</f>
        <v>19</v>
      </c>
      <c r="J6" s="19" t="n">
        <f aca="false">E6*I6</f>
        <v>2120.4</v>
      </c>
    </row>
    <row r="7" customFormat="false" ht="61.5" hidden="false" customHeight="true" outlineLevel="0" collapsed="false">
      <c r="A7" s="16" t="n">
        <v>3</v>
      </c>
      <c r="B7" s="17" t="s">
        <v>89</v>
      </c>
      <c r="C7" s="17" t="s">
        <v>90</v>
      </c>
      <c r="D7" s="21" t="str">
        <f aca="false">Rates!C7</f>
        <v>m2</v>
      </c>
      <c r="E7" s="22" t="n">
        <f aca="false">'Dimensions Reference'!G7</f>
        <v>96</v>
      </c>
      <c r="F7" s="22" t="n">
        <f aca="false">Rates!D7</f>
        <v>38</v>
      </c>
      <c r="G7" s="22" t="n">
        <f aca="false">Rates!E7</f>
        <v>22</v>
      </c>
      <c r="H7" s="22" t="n">
        <f aca="false">Rates!F7</f>
        <v>3</v>
      </c>
      <c r="I7" s="19" t="n">
        <f aca="false">F7+G7+H7</f>
        <v>63</v>
      </c>
      <c r="J7" s="19" t="n">
        <f aca="false">E7*I7</f>
        <v>6048</v>
      </c>
    </row>
    <row r="8" customFormat="false" ht="61.5" hidden="false" customHeight="true" outlineLevel="0" collapsed="false">
      <c r="A8" s="16" t="n">
        <v>4</v>
      </c>
      <c r="B8" s="17" t="s">
        <v>91</v>
      </c>
      <c r="C8" s="17" t="s">
        <v>92</v>
      </c>
      <c r="D8" s="21" t="str">
        <f aca="false">Rates!C8</f>
        <v>m2</v>
      </c>
      <c r="E8" s="22" t="n">
        <f aca="false">'Dimensions Reference'!G8</f>
        <v>15</v>
      </c>
      <c r="F8" s="22" t="n">
        <f aca="false">Rates!D8</f>
        <v>30</v>
      </c>
      <c r="G8" s="22" t="n">
        <f aca="false">Rates!E8</f>
        <v>15</v>
      </c>
      <c r="H8" s="22" t="n">
        <f aca="false">Rates!F8</f>
        <v>2</v>
      </c>
      <c r="I8" s="19" t="n">
        <f aca="false">F8+G8+H8</f>
        <v>47</v>
      </c>
      <c r="J8" s="19" t="n">
        <f aca="false">E8*I8</f>
        <v>705</v>
      </c>
    </row>
    <row r="9" customFormat="false" ht="61.5" hidden="false" customHeight="true" outlineLevel="0" collapsed="false">
      <c r="A9" s="16" t="n">
        <v>5</v>
      </c>
      <c r="B9" s="17" t="s">
        <v>93</v>
      </c>
      <c r="C9" s="17" t="s">
        <v>94</v>
      </c>
      <c r="D9" s="21" t="str">
        <f aca="false">Rates!C9</f>
        <v>nr</v>
      </c>
      <c r="E9" s="22" t="n">
        <f aca="false">'Dimensions Reference'!G9</f>
        <v>4</v>
      </c>
      <c r="F9" s="22" t="n">
        <f aca="false">Rates!D9</f>
        <v>650</v>
      </c>
      <c r="G9" s="22" t="n">
        <f aca="false">Rates!E9</f>
        <v>120</v>
      </c>
      <c r="H9" s="22" t="n">
        <f aca="false">Rates!F9</f>
        <v>10</v>
      </c>
      <c r="I9" s="19" t="n">
        <f aca="false">F9+G9+H9</f>
        <v>780</v>
      </c>
      <c r="J9" s="19" t="n">
        <f aca="false">E9*I9</f>
        <v>3120</v>
      </c>
    </row>
    <row r="10" customFormat="false" ht="61.5" hidden="false" customHeight="true" outlineLevel="0" collapsed="false">
      <c r="A10" s="16" t="n">
        <v>6</v>
      </c>
      <c r="B10" s="17" t="s">
        <v>95</v>
      </c>
      <c r="C10" s="17" t="s">
        <v>96</v>
      </c>
      <c r="D10" s="21" t="str">
        <f aca="false">Rates!C10</f>
        <v>m3</v>
      </c>
      <c r="E10" s="22" t="n">
        <f aca="false">'Dimensions Reference'!G10</f>
        <v>9.6</v>
      </c>
      <c r="F10" s="22" t="n">
        <f aca="false">Rates!D10</f>
        <v>270</v>
      </c>
      <c r="G10" s="22" t="n">
        <f aca="false">Rates!E10</f>
        <v>60</v>
      </c>
      <c r="H10" s="22" t="n">
        <f aca="false">Rates!F10</f>
        <v>25</v>
      </c>
      <c r="I10" s="19" t="n">
        <f aca="false">F10+G10+H10</f>
        <v>355</v>
      </c>
      <c r="J10" s="19" t="n">
        <f aca="false">E10*I10</f>
        <v>3408</v>
      </c>
    </row>
    <row r="12" customFormat="false" ht="15" hidden="false" customHeight="false" outlineLevel="0" collapsed="false">
      <c r="A12" s="6" t="s">
        <v>97</v>
      </c>
      <c r="J12" s="23" t="n">
        <f aca="false">SUM(J5:J10)</f>
        <v>23369.4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11" t="s">
        <v>98</v>
      </c>
    </row>
    <row r="2" customFormat="false" ht="15" hidden="false" customHeight="false" outlineLevel="0" collapsed="false">
      <c r="A2" s="9" t="str">
        <f aca="false">"Client type: "&amp;Cover!C8&amp;" | Location: "&amp;Cover!C9&amp;" | Pricing year: "&amp;Cover!C6</f>
        <v>Client type: Standard | Location: Riyadh | Pricing year: 2026</v>
      </c>
    </row>
    <row r="4" customFormat="false" ht="15" hidden="false" customHeight="false" outlineLevel="0" collapsed="false">
      <c r="A4" s="12" t="s">
        <v>46</v>
      </c>
      <c r="B4" s="12" t="s">
        <v>99</v>
      </c>
      <c r="C4" s="12" t="s">
        <v>100</v>
      </c>
    </row>
    <row r="5" customFormat="false" ht="15" hidden="false" customHeight="false" outlineLevel="0" collapsed="false">
      <c r="A5" s="17" t="s">
        <v>101</v>
      </c>
      <c r="B5" s="24"/>
      <c r="C5" s="22" t="n">
        <f aca="false">BOQ!J12</f>
        <v>23369.4</v>
      </c>
    </row>
    <row r="6" customFormat="false" ht="15" hidden="false" customHeight="false" outlineLevel="0" collapsed="false">
      <c r="A6" s="17" t="s">
        <v>102</v>
      </c>
      <c r="B6" s="25" t="n">
        <f aca="false">Factors!B20</f>
        <v>0</v>
      </c>
      <c r="C6" s="22" t="n">
        <f aca="false">C5*B6</f>
        <v>0</v>
      </c>
    </row>
    <row r="7" customFormat="false" ht="15" hidden="false" customHeight="false" outlineLevel="0" collapsed="false">
      <c r="A7" s="17" t="s">
        <v>103</v>
      </c>
      <c r="B7" s="24"/>
      <c r="C7" s="19" t="n">
        <f aca="false">C5+C6</f>
        <v>23369.4</v>
      </c>
    </row>
    <row r="8" customFormat="false" ht="15" hidden="false" customHeight="false" outlineLevel="0" collapsed="false">
      <c r="A8" s="17" t="s">
        <v>104</v>
      </c>
      <c r="B8" s="25" t="n">
        <f aca="false">Factors!B17</f>
        <v>0.15</v>
      </c>
      <c r="C8" s="22" t="n">
        <f aca="false">C7*B8</f>
        <v>3505.41</v>
      </c>
    </row>
    <row r="9" customFormat="false" ht="15" hidden="false" customHeight="false" outlineLevel="0" collapsed="false">
      <c r="A9" s="17" t="s">
        <v>105</v>
      </c>
      <c r="B9" s="25" t="n">
        <f aca="false">Factors!B18</f>
        <v>0.12</v>
      </c>
      <c r="C9" s="22" t="n">
        <f aca="false">(C7+C8)*B9</f>
        <v>3224.9772</v>
      </c>
    </row>
    <row r="10" customFormat="false" ht="15" hidden="false" customHeight="false" outlineLevel="0" collapsed="false">
      <c r="A10" s="17" t="s">
        <v>106</v>
      </c>
      <c r="B10" s="24"/>
      <c r="C10" s="19" t="n">
        <f aca="false">C7+C8+C9</f>
        <v>30099.7872</v>
      </c>
    </row>
    <row r="11" customFormat="false" ht="15" hidden="false" customHeight="false" outlineLevel="0" collapsed="false">
      <c r="A11" s="17" t="s">
        <v>107</v>
      </c>
      <c r="B11" s="25" t="n">
        <f aca="false">Factors!B19</f>
        <v>0.1</v>
      </c>
      <c r="C11" s="22" t="n">
        <f aca="false">C10*B11</f>
        <v>3009.97872</v>
      </c>
    </row>
    <row r="12" customFormat="false" ht="15" hidden="false" customHeight="false" outlineLevel="0" collapsed="false">
      <c r="A12" s="26" t="s">
        <v>108</v>
      </c>
      <c r="B12" s="24"/>
      <c r="C12" s="27" t="n">
        <f aca="false">C10+C11</f>
        <v>33109.76592</v>
      </c>
    </row>
    <row r="13" customFormat="false" ht="15" hidden="false" customHeight="false" outlineLevel="0" collapsed="false">
      <c r="A13" s="17" t="s">
        <v>109</v>
      </c>
      <c r="B13" s="25" t="n">
        <f aca="false">Factors!B21</f>
        <v>0.15</v>
      </c>
      <c r="C13" s="22" t="n">
        <f aca="false">C12*B13</f>
        <v>4966.464888</v>
      </c>
    </row>
    <row r="14" customFormat="false" ht="15" hidden="false" customHeight="false" outlineLevel="0" collapsed="false">
      <c r="A14" s="26" t="s">
        <v>110</v>
      </c>
      <c r="B14" s="24"/>
      <c r="C14" s="27" t="n">
        <f aca="false">C12+C13</f>
        <v>38076.230808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2026-10-01T22:16:40Z</dcterms:created>
  <dc:creator>openpyxl</dc:creator>
  <dc:description/>
  <dc:language>en-US</dc:language>
  <cp:lastModifiedBy/>
  <dcterms:modified xsi:type="dcterms:W3CDTF">2026-10-01T22:16:40Z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